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ato\Desktop\Proyecto\Data\"/>
    </mc:Choice>
  </mc:AlternateContent>
  <xr:revisionPtr revIDLastSave="0" documentId="13_ncr:1_{87779181-751F-4EF4-9689-285044FEF7B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<sst xmlns="http://schemas.openxmlformats.org/spreadsheetml/2006/main" count="101" uniqueCount="17">
  <si>
    <t>client_name</t>
  </si>
  <si>
    <t>client_type</t>
  </si>
  <si>
    <t>product_name</t>
  </si>
  <si>
    <t>quantity</t>
  </si>
  <si>
    <t>delivery_date</t>
  </si>
  <si>
    <t>Falabella</t>
  </si>
  <si>
    <t>Paris</t>
  </si>
  <si>
    <t>Ripley</t>
  </si>
  <si>
    <t>Silk perfumes</t>
  </si>
  <si>
    <t>Elite perfumes</t>
  </si>
  <si>
    <t>Existing</t>
  </si>
  <si>
    <t>Perfume</t>
  </si>
  <si>
    <t>Emergency</t>
  </si>
  <si>
    <t>New</t>
  </si>
  <si>
    <t>ipley</t>
  </si>
  <si>
    <t>aris</t>
  </si>
  <si>
    <t>ilk perfumes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</si>
</sst>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medium">
          <color indexed="64"/>
        </top>
      </border>
    </dxf>
    <dxf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35828-D790-493F-BD6A-0DE41A709B17}" name="Table1" displayName="Table1" ref="A1:E44" totalsRowShown="0" headerRowDxfId="8" dataDxfId="6" headerRowBorderDxfId="7" tableBorderDxfId="5">
  <autoFilter ref="A1:E44" xr:uid="{5BE35828-D790-493F-BD6A-0DE41A709B17}"/>
  <tableColumns count="5">
    <tableColumn id="1" xr3:uid="{321275A7-2F88-4287-B9D2-90324659A216}" name="client_name" dataDxfId="4"/>
    <tableColumn id="2" xr3:uid="{1194C399-FEBA-4736-ACAB-96F8A125CBFD}" name="client_type" dataDxfId="3"/>
    <tableColumn id="3" xr3:uid="{62E56DB9-23FC-4E0C-BDC7-2092217737A9}" name="product_name" dataDxfId="2">
      <calculatedColumnFormula>_xlfn.XLOOKUP(Table1[[#This Row],[client_name]],Sheet2!$A$1:$A$5,Sheet2!$B$1:$B$5,"Not Found",0,1)</calculatedColumnFormula>
    </tableColumn>
    <tableColumn id="4" xr3:uid="{927121BE-A13F-4BFE-9D96-B38A42545EDB}" name="quantity" dataDxfId="1"/>
    <tableColumn id="5" xr3:uid="{8C677357-1D6B-48B0-8762-0E36B413D99A}" name="delivery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topLeftCell="A7" workbookViewId="0">
      <selection activeCell="G35" sqref="G35"/>
    </sheetView>
  </sheetViews>
  <sheetFormatPr defaultRowHeight="15" x14ac:dyDescent="0.25"/>
  <cols>
    <col min="1" max="1" width="15.85546875" customWidth="1"/>
    <col min="2" max="2" width="18.140625" customWidth="1"/>
    <col min="3" max="3" width="16.7109375" customWidth="1"/>
    <col min="4" max="4" width="11.7109375" customWidth="1"/>
    <col min="5" max="5" width="15.42578125" customWidth="1"/>
  </cols>
  <sheetData>
    <row r="1" spans="1:5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5">
      <c r="A2" s="1" t="s">
        <v>5</v>
      </c>
      <c r="B2" s="1" t="s">
        <v>10</v>
      </c>
      <c r="C2" s="1" t="str">
        <f>_xlfn.XLOOKUP(Table1[[#This Row],[client_name]],Sheet2!$A$1:$A$5,Sheet2!$B$1:$B$5,"Not Found",0,1)</f>
        <v>Perfume</v>
      </c>
      <c r="D2" s="1">
        <v>150</v>
      </c>
      <c r="E2" s="2">
        <v>46174</v>
      </c>
    </row>
    <row r="3" spans="1:5" x14ac:dyDescent="0.25">
      <c r="A3" s="1" t="s">
        <v>6</v>
      </c>
      <c r="B3" s="1" t="s">
        <v>12</v>
      </c>
      <c r="C3" s="1" t="str">
        <f>_xlfn.XLOOKUP(Table1[[#This Row],[client_name]],Sheet2!$A$1:$A$5,Sheet2!$B$1:$B$5,"Not Found",0,1)</f>
        <v>Perfume</v>
      </c>
      <c r="D3" s="1">
        <v>350</v>
      </c>
      <c r="E3" s="2">
        <v>46175</v>
      </c>
    </row>
    <row r="4" spans="1:5" x14ac:dyDescent="0.25">
      <c r="A4" s="1" t="s">
        <v>7</v>
      </c>
      <c r="B4" s="1" t="s">
        <v>10</v>
      </c>
      <c r="C4" s="1" t="str">
        <f>_xlfn.XLOOKUP(Table1[[#This Row],[client_name]],Sheet2!$A$1:$A$5,Sheet2!$B$1:$B$5,"Not Found",0,1)</f>
        <v>Perfume</v>
      </c>
      <c r="D4" s="1">
        <v>95</v>
      </c>
      <c r="E4" s="2">
        <v>46176</v>
      </c>
    </row>
    <row r="5" spans="1:5" x14ac:dyDescent="0.25">
      <c r="A5" s="1" t="s">
        <v>8</v>
      </c>
      <c r="B5" s="1" t="s">
        <v>13</v>
      </c>
      <c r="C5" s="1" t="str">
        <f>_xlfn.XLOOKUP(Table1[[#This Row],[client_name]],Sheet2!$A$1:$A$5,Sheet2!$B$1:$B$5,"Not Found",0,1)</f>
        <v>Perfume</v>
      </c>
      <c r="D5" s="1">
        <v>50</v>
      </c>
      <c r="E5" s="2">
        <v>46177</v>
      </c>
    </row>
    <row r="6" spans="1:5" x14ac:dyDescent="0.25">
      <c r="A6" s="1" t="s">
        <v>9</v>
      </c>
      <c r="B6" s="1" t="s">
        <v>13</v>
      </c>
      <c r="C6" s="1" t="str">
        <f>_xlfn.XLOOKUP(Table1[[#This Row],[client_name]],Sheet2!$A$1:$A$5,Sheet2!$B$1:$B$5,"Not Found",0,1)</f>
        <v>Perfume</v>
      </c>
      <c r="D6" s="1">
        <v>75</v>
      </c>
      <c r="E6" s="2">
        <v>46178</v>
      </c>
    </row>
    <row r="7" spans="1:5" x14ac:dyDescent="0.25">
      <c r="A7" s="1" t="s">
        <v>7</v>
      </c>
      <c r="B7" s="1" t="s">
        <v>10</v>
      </c>
      <c r="C7" s="1" t="str">
        <f>_xlfn.XLOOKUP(Table1[[#This Row],[client_name]],Sheet2!$A$1:$A$5,Sheet2!$B$1:$B$5,"Not Found",0,1)</f>
        <v>Perfume</v>
      </c>
      <c r="D7" s="1">
        <v>130</v>
      </c>
      <c r="E7" s="2">
        <v>46179</v>
      </c>
    </row>
    <row r="8" spans="1:5" x14ac:dyDescent="0.25">
      <c r="A8" s="1" t="s">
        <v>9</v>
      </c>
      <c r="B8" s="1" t="s">
        <v>13</v>
      </c>
      <c r="C8" s="1" t="str">
        <f>_xlfn.XLOOKUP(Table1[[#This Row],[client_name]],Sheet2!$A$1:$A$5,Sheet2!$B$1:$B$5,"Not Found",0,1)</f>
        <v>Perfume</v>
      </c>
      <c r="D8" s="1">
        <v>75</v>
      </c>
      <c r="E8" s="2">
        <v>46180</v>
      </c>
    </row>
    <row r="9" spans="1:5" x14ac:dyDescent="0.25">
      <c r="A9" s="1" t="s">
        <v>8</v>
      </c>
      <c r="B9" s="1" t="s">
        <v>13</v>
      </c>
      <c r="C9" s="1" t="str">
        <f>_xlfn.XLOOKUP(Table1[[#This Row],[client_name]],Sheet2!$A$1:$A$5,Sheet2!$B$1:$B$5,"Not Found",0,1)</f>
        <v>Perfume</v>
      </c>
      <c r="D9" s="1">
        <v>75</v>
      </c>
      <c r="E9" s="2">
        <v>46181</v>
      </c>
    </row>
    <row r="10" spans="1:5" x14ac:dyDescent="0.25">
      <c r="A10" s="1" t="s">
        <v>5</v>
      </c>
      <c r="B10" s="1" t="s">
        <v>12</v>
      </c>
      <c r="C10" s="1" t="str">
        <f>_xlfn.XLOOKUP(Table1[[#This Row],[client_name]],Sheet2!$A$1:$A$5,Sheet2!$B$1:$B$5,"Not Found",0,1)</f>
        <v>Perfume</v>
      </c>
      <c r="D10" s="1">
        <v>150</v>
      </c>
      <c r="E10" s="2">
        <v>46182</v>
      </c>
    </row>
    <row r="11" spans="1:5" x14ac:dyDescent="0.25">
      <c r="A11" s="1" t="s">
        <v>6</v>
      </c>
      <c r="B11" s="1" t="s">
        <v>10</v>
      </c>
      <c r="C11" s="1" t="str">
        <f>_xlfn.XLOOKUP(Table1[[#This Row],[client_name]],Sheet2!$A$1:$A$5,Sheet2!$B$1:$B$5,"Not Found",0,1)</f>
        <v>Perfume</v>
      </c>
      <c r="D11" s="1">
        <v>170</v>
      </c>
      <c r="E11" s="2">
        <v>46183</v>
      </c>
    </row>
    <row r="12" spans="1:5" x14ac:dyDescent="0.25">
      <c r="A12" s="1" t="s">
        <v>7</v>
      </c>
      <c r="B12" s="1" t="s">
        <v>12</v>
      </c>
      <c r="C12" s="1" t="str">
        <f>_xlfn.XLOOKUP(Table1[[#This Row],[client_name]],Sheet2!$A$1:$A$5,Sheet2!$B$1:$B$5,"Not Found",0,1)</f>
        <v>Perfume</v>
      </c>
      <c r="D12" s="1">
        <v>300</v>
      </c>
      <c r="E12" s="2">
        <v>46184</v>
      </c>
    </row>
    <row r="13" spans="1:5" x14ac:dyDescent="0.25">
      <c r="A13" s="1" t="s">
        <v>5</v>
      </c>
      <c r="B13" s="1" t="s">
        <v>12</v>
      </c>
      <c r="C13" s="1" t="str">
        <f>_xlfn.XLOOKUP(Table1[[#This Row],[client_name]],Sheet2!$A$1:$A$5,Sheet2!$B$1:$B$5,"Not Found",0,1)</f>
        <v>Perfume</v>
      </c>
      <c r="D13" s="1">
        <v>450</v>
      </c>
      <c r="E13" s="2">
        <v>46185</v>
      </c>
    </row>
    <row r="14" spans="1:5" x14ac:dyDescent="0.25">
      <c r="A14" s="1" t="s">
        <v>6</v>
      </c>
      <c r="B14" s="1" t="s">
        <v>12</v>
      </c>
      <c r="C14" s="1" t="str">
        <f>_xlfn.XLOOKUP(Table1[[#This Row],[client_name]],Sheet2!$A$1:$A$5,Sheet2!$B$1:$B$5,"Not Found",0,1)</f>
        <v>Perfume</v>
      </c>
      <c r="D14" s="1">
        <v>550</v>
      </c>
      <c r="E14" s="2">
        <v>46186</v>
      </c>
    </row>
    <row r="15" spans="1:5" x14ac:dyDescent="0.25">
      <c r="A15" s="1" t="s">
        <v>7</v>
      </c>
      <c r="B15" s="1" t="s">
        <v>12</v>
      </c>
      <c r="C15" s="1" t="str">
        <f>_xlfn.XLOOKUP(Table1[[#This Row],[client_name]],Sheet2!$A$1:$A$5,Sheet2!$B$1:$B$5,"Not Found",0,1)</f>
        <v>Perfume</v>
      </c>
      <c r="D15" s="1">
        <v>650</v>
      </c>
      <c r="E15" s="2">
        <v>46187</v>
      </c>
    </row>
    <row r="16" spans="1:5" x14ac:dyDescent="0.25">
      <c r="A16" s="1" t="s">
        <v>5</v>
      </c>
      <c r="B16" s="1" t="s">
        <v>10</v>
      </c>
      <c r="C16" s="1" t="str">
        <f>_xlfn.XLOOKUP(Table1[[#This Row],[client_name]],Sheet2!$A$1:$A$5,Sheet2!$B$1:$B$5,"Not Found",0,1)</f>
        <v>Perfume</v>
      </c>
      <c r="D16" s="1">
        <v>150</v>
      </c>
      <c r="E16" s="2">
        <v>46188</v>
      </c>
    </row>
    <row r="17" spans="1:5" x14ac:dyDescent="0.25">
      <c r="A17" s="1" t="s">
        <v>6</v>
      </c>
      <c r="B17" s="1" t="s">
        <v>12</v>
      </c>
      <c r="C17" s="1" t="str">
        <f>_xlfn.XLOOKUP(Table1[[#This Row],[client_name]],Sheet2!$A$1:$A$5,Sheet2!$B$1:$B$5,"Not Found",0,1)</f>
        <v>Perfume</v>
      </c>
      <c r="D17" s="1">
        <v>350</v>
      </c>
      <c r="E17" s="2">
        <v>46189</v>
      </c>
    </row>
    <row r="18" spans="1:5" x14ac:dyDescent="0.25">
      <c r="A18" s="1" t="s">
        <v>7</v>
      </c>
      <c r="B18" s="1" t="s">
        <v>10</v>
      </c>
      <c r="C18" s="1" t="str">
        <f>_xlfn.XLOOKUP(Table1[[#This Row],[client_name]],Sheet2!$A$1:$A$5,Sheet2!$B$1:$B$5,"Not Found",0,1)</f>
        <v>Perfume</v>
      </c>
      <c r="D18" s="1">
        <v>95</v>
      </c>
      <c r="E18" s="2">
        <v>46190</v>
      </c>
    </row>
    <row r="19" spans="1:5" x14ac:dyDescent="0.25">
      <c r="A19" s="1" t="s">
        <v>8</v>
      </c>
      <c r="B19" s="1" t="s">
        <v>13</v>
      </c>
      <c r="C19" s="1" t="str">
        <f>_xlfn.XLOOKUP(Table1[[#This Row],[client_name]],Sheet2!$A$1:$A$5,Sheet2!$B$1:$B$5,"Not Found",0,1)</f>
        <v>Perfume</v>
      </c>
      <c r="D19" s="1">
        <v>50</v>
      </c>
      <c r="E19" s="2">
        <v>46191</v>
      </c>
    </row>
    <row r="20" spans="1:5" x14ac:dyDescent="0.25">
      <c r="A20" s="1" t="s">
        <v>9</v>
      </c>
      <c r="B20" s="1" t="s">
        <v>13</v>
      </c>
      <c r="C20" s="1" t="str">
        <f>_xlfn.XLOOKUP(Table1[[#This Row],[client_name]],Sheet2!$A$1:$A$5,Sheet2!$B$1:$B$5,"Not Found",0,1)</f>
        <v>Perfume</v>
      </c>
      <c r="D20" s="1">
        <v>75</v>
      </c>
      <c r="E20" s="2">
        <v>46192</v>
      </c>
    </row>
    <row r="21" spans="1:5" x14ac:dyDescent="0.25">
      <c r="A21" s="1" t="s">
        <v>7</v>
      </c>
      <c r="B21" s="1" t="s">
        <v>10</v>
      </c>
      <c r="C21" s="1" t="str">
        <f>_xlfn.XLOOKUP(Table1[[#This Row],[client_name]],Sheet2!$A$1:$A$5,Sheet2!$B$1:$B$5,"Not Found",0,1)</f>
        <v>Perfume</v>
      </c>
      <c r="D21" s="1">
        <v>130</v>
      </c>
      <c r="E21" s="2">
        <v>46193</v>
      </c>
    </row>
    <row r="22" spans="1:5" x14ac:dyDescent="0.25">
      <c r="A22" s="1" t="s">
        <v>9</v>
      </c>
      <c r="B22" s="1" t="s">
        <v>13</v>
      </c>
      <c r="C22" s="1" t="str">
        <f>_xlfn.XLOOKUP(Table1[[#This Row],[client_name]],Sheet2!$A$1:$A$5,Sheet2!$B$1:$B$5,"Not Found",0,1)</f>
        <v>Perfume</v>
      </c>
      <c r="D22" s="1">
        <v>75</v>
      </c>
      <c r="E22" s="2">
        <v>46194</v>
      </c>
    </row>
    <row r="23" spans="1:5" x14ac:dyDescent="0.25">
      <c r="A23" s="1" t="s">
        <v>8</v>
      </c>
      <c r="B23" s="1" t="s">
        <v>13</v>
      </c>
      <c r="C23" s="1" t="str">
        <f>_xlfn.XLOOKUP(Table1[[#This Row],[client_name]],Sheet2!$A$1:$A$5,Sheet2!$B$1:$B$5,"Not Found",0,1)</f>
        <v>Perfume</v>
      </c>
      <c r="D23" s="1">
        <v>75</v>
      </c>
      <c r="E23" s="2">
        <v>46195</v>
      </c>
    </row>
    <row r="24" spans="1:5" x14ac:dyDescent="0.25">
      <c r="A24" s="1" t="s">
        <v>5</v>
      </c>
      <c r="B24" s="1" t="s">
        <v>12</v>
      </c>
      <c r="C24" s="1" t="str">
        <f>_xlfn.XLOOKUP(Table1[[#This Row],[client_name]],Sheet2!$A$1:$A$5,Sheet2!$B$1:$B$5,"Not Found",0,1)</f>
        <v>Perfume</v>
      </c>
      <c r="D24" s="1">
        <v>150</v>
      </c>
      <c r="E24" s="2">
        <v>46196</v>
      </c>
    </row>
    <row r="25" spans="1:5" x14ac:dyDescent="0.25">
      <c r="A25" s="1" t="s">
        <v>6</v>
      </c>
      <c r="B25" s="1" t="s">
        <v>10</v>
      </c>
      <c r="C25" s="1" t="str">
        <f>_xlfn.XLOOKUP(Table1[[#This Row],[client_name]],Sheet2!$A$1:$A$5,Sheet2!$B$1:$B$5,"Not Found",0,1)</f>
        <v>Perfume</v>
      </c>
      <c r="D25" s="1">
        <v>170</v>
      </c>
      <c r="E25" s="2">
        <v>46197</v>
      </c>
    </row>
    <row r="26" spans="1:5" x14ac:dyDescent="0.25">
      <c r="A26" s="1" t="s">
        <v>7</v>
      </c>
      <c r="B26" s="1" t="s">
        <v>12</v>
      </c>
      <c r="C26" s="1" t="str">
        <f>_xlfn.XLOOKUP(Table1[[#This Row],[client_name]],Sheet2!$A$1:$A$5,Sheet2!$B$1:$B$5,"Not Found",0,1)</f>
        <v>Perfume</v>
      </c>
      <c r="D26" s="1">
        <v>300</v>
      </c>
      <c r="E26" s="2">
        <v>46198</v>
      </c>
    </row>
    <row r="27" spans="1:5" x14ac:dyDescent="0.25">
      <c r="A27" s="1" t="s">
        <v>5</v>
      </c>
      <c r="B27" s="1" t="s">
        <v>12</v>
      </c>
      <c r="C27" s="1" t="str">
        <f>_xlfn.XLOOKUP(Table1[[#This Row],[client_name]],Sheet2!$A$1:$A$5,Sheet2!$B$1:$B$5,"Not Found",0,1)</f>
        <v>Perfume</v>
      </c>
      <c r="D27" s="1">
        <v>450</v>
      </c>
      <c r="E27" s="2">
        <v>46199</v>
      </c>
    </row>
    <row r="28" spans="1:5" x14ac:dyDescent="0.25">
      <c r="A28" s="1" t="s">
        <v>6</v>
      </c>
      <c r="B28" s="1" t="s">
        <v>12</v>
      </c>
      <c r="C28" s="1" t="str">
        <f>_xlfn.XLOOKUP(Table1[[#This Row],[client_name]],Sheet2!$A$1:$A$5,Sheet2!$B$1:$B$5,"Not Found",0,1)</f>
        <v>Perfume</v>
      </c>
      <c r="D28" s="1">
        <v>550</v>
      </c>
      <c r="E28" s="2">
        <v>46200</v>
      </c>
    </row>
    <row r="29" spans="1:5" x14ac:dyDescent="0.25">
      <c r="A29" s="1" t="s">
        <v>7</v>
      </c>
      <c r="B29" s="1" t="s">
        <v>12</v>
      </c>
      <c r="C29" s="1" t="str">
        <f>_xlfn.XLOOKUP(Table1[[#This Row],[client_name]],Sheet2!$A$1:$A$5,Sheet2!$B$1:$B$5,"Not Found",0,1)</f>
        <v>Perfume</v>
      </c>
      <c r="D29" s="1">
        <v>650</v>
      </c>
      <c r="E29" s="2">
        <v>46201</v>
      </c>
    </row>
    <row r="30" spans="1:5" x14ac:dyDescent="0.25">
      <c r="A30" s="1" t="s">
        <v>14</v>
      </c>
      <c r="B30" s="1" t="s">
        <v>12</v>
      </c>
      <c r="C30" s="1" t="str">
        <f>_xlfn.XLOOKUP(Table1[[#This Row],[client_name]],Sheet2!$A$1:$A$5,Sheet2!$B$1:$B$5,"Not Found",0,1)</f>
        <v>Not Found</v>
      </c>
      <c r="D30" s="1">
        <v>650</v>
      </c>
      <c r="E30" s="2">
        <v>46202</v>
      </c>
    </row>
    <row r="31" spans="1:5" x14ac:dyDescent="0.25">
      <c r="A31" s="1" t="s">
        <v>5</v>
      </c>
      <c r="B31" s="1" t="s">
        <v>10</v>
      </c>
      <c r="C31" s="1" t="str">
        <f>_xlfn.XLOOKUP(Table1[[#This Row],[client_name]],Sheet2!$A$1:$A$5,Sheet2!$B$1:$B$5,"Not Found",0,1)</f>
        <v>Perfume</v>
      </c>
      <c r="D31" s="1">
        <v>150</v>
      </c>
      <c r="E31" s="2">
        <v>46203</v>
      </c>
    </row>
    <row r="32" spans="1:5" x14ac:dyDescent="0.25">
      <c r="A32" s="1" t="s">
        <v>15</v>
      </c>
      <c r="B32" s="1" t="s">
        <v>12</v>
      </c>
      <c r="C32" s="1" t="str">
        <f>_xlfn.XLOOKUP(Table1[[#This Row],[client_name]],Sheet2!$A$1:$A$5,Sheet2!$B$1:$B$5,"Not Found",0,1)</f>
        <v>Not Found</v>
      </c>
      <c r="D32" s="1">
        <v>350</v>
      </c>
      <c r="E32" s="2">
        <v>46204</v>
      </c>
    </row>
    <row r="33" spans="1:5" x14ac:dyDescent="0.25">
      <c r="A33" s="1" t="s">
        <v>7</v>
      </c>
      <c r="B33" s="1" t="s">
        <v>10</v>
      </c>
      <c r="C33" s="1" t="str">
        <f>_xlfn.XLOOKUP(Table1[[#This Row],[client_name]],Sheet2!$A$1:$A$5,Sheet2!$B$1:$B$5,"Not Found",0,1)</f>
        <v>Perfume</v>
      </c>
      <c r="D33" s="1">
        <v>95</v>
      </c>
      <c r="E33" s="2">
        <v>46205</v>
      </c>
    </row>
    <row r="34" spans="1:5" x14ac:dyDescent="0.25">
      <c r="A34" s="1" t="s">
        <v>8</v>
      </c>
      <c r="B34" s="1" t="s">
        <v>13</v>
      </c>
      <c r="C34" s="1" t="str">
        <f>_xlfn.XLOOKUP(Table1[[#This Row],[client_name]],Sheet2!$A$1:$A$5,Sheet2!$B$1:$B$5,"Not Found",0,1)</f>
        <v>Perfume</v>
      </c>
      <c r="D34" s="1">
        <v>50</v>
      </c>
      <c r="E34" s="2">
        <v>46206</v>
      </c>
    </row>
    <row r="35" spans="1:5" x14ac:dyDescent="0.25">
      <c r="A35" s="1" t="s">
        <v>9</v>
      </c>
      <c r="B35" s="1" t="s">
        <v>13</v>
      </c>
      <c r="C35" s="1" t="str">
        <f>_xlfn.XLOOKUP(Table1[[#This Row],[client_name]],Sheet2!$A$1:$A$5,Sheet2!$B$1:$B$5,"Not Found",0,1)</f>
        <v>Perfume</v>
      </c>
      <c r="D35" s="1">
        <v>75</v>
      </c>
      <c r="E35" s="2">
        <v>46207</v>
      </c>
    </row>
    <row r="36" spans="1:5" x14ac:dyDescent="0.25">
      <c r="A36" s="1" t="s">
        <v>7</v>
      </c>
      <c r="B36" s="1" t="s">
        <v>10</v>
      </c>
      <c r="C36" s="1" t="str">
        <f>_xlfn.XLOOKUP(Table1[[#This Row],[client_name]],Sheet2!$A$1:$A$5,Sheet2!$B$1:$B$5,"Not Found",0,1)</f>
        <v>Perfume</v>
      </c>
      <c r="D36" s="1">
        <v>130</v>
      </c>
      <c r="E36" s="2">
        <v>46208</v>
      </c>
    </row>
    <row r="37" spans="1:5" x14ac:dyDescent="0.25">
      <c r="A37" s="1" t="s">
        <v>9</v>
      </c>
      <c r="B37" s="1" t="s">
        <v>13</v>
      </c>
      <c r="C37" s="1" t="str">
        <f>_xlfn.XLOOKUP(Table1[[#This Row],[client_name]],Sheet2!$A$1:$A$5,Sheet2!$B$1:$B$5,"Not Found",0,1)</f>
        <v>Perfume</v>
      </c>
      <c r="D37" s="1">
        <v>75</v>
      </c>
      <c r="E37" s="2">
        <v>46209</v>
      </c>
    </row>
    <row r="38" spans="1:5" x14ac:dyDescent="0.25">
      <c r="A38" s="1" t="s">
        <v>16</v>
      </c>
      <c r="B38" s="1" t="s">
        <v>13</v>
      </c>
      <c r="C38" s="1" t="str">
        <f>_xlfn.XLOOKUP(Table1[[#This Row],[client_name]],Sheet2!$A$1:$A$5,Sheet2!$B$1:$B$5,"Not Found",0,1)</f>
        <v>Not Found</v>
      </c>
      <c r="D38" s="1">
        <v>75</v>
      </c>
      <c r="E38" s="2">
        <v>46210</v>
      </c>
    </row>
    <row r="39" spans="1:5" x14ac:dyDescent="0.25">
      <c r="A39" s="1" t="s">
        <v>5</v>
      </c>
      <c r="B39" s="1" t="s">
        <v>12</v>
      </c>
      <c r="C39" s="1" t="str">
        <f>_xlfn.XLOOKUP(Table1[[#This Row],[client_name]],Sheet2!$A$1:$A$5,Sheet2!$B$1:$B$5,"Not Found",0,1)</f>
        <v>Perfume</v>
      </c>
      <c r="D39" s="1">
        <v>150</v>
      </c>
      <c r="E39" s="2">
        <v>46211</v>
      </c>
    </row>
    <row r="40" spans="1:5" x14ac:dyDescent="0.25">
      <c r="A40" s="1" t="s">
        <v>6</v>
      </c>
      <c r="B40" s="1" t="s">
        <v>10</v>
      </c>
      <c r="C40" s="1" t="str">
        <f>_xlfn.XLOOKUP(Table1[[#This Row],[client_name]],Sheet2!$A$1:$A$5,Sheet2!$B$1:$B$5,"Not Found",0,1)</f>
        <v>Perfume</v>
      </c>
      <c r="D40" s="1">
        <v>170</v>
      </c>
      <c r="E40" s="2">
        <v>46212</v>
      </c>
    </row>
    <row r="41" spans="1:5" x14ac:dyDescent="0.25">
      <c r="A41" s="1" t="s">
        <v>7</v>
      </c>
      <c r="B41" s="1" t="s">
        <v>12</v>
      </c>
      <c r="C41" s="1" t="str">
        <f>_xlfn.XLOOKUP(Table1[[#This Row],[client_name]],Sheet2!$A$1:$A$5,Sheet2!$B$1:$B$5,"Not Found",0,1)</f>
        <v>Perfume</v>
      </c>
      <c r="D41" s="1">
        <v>300</v>
      </c>
      <c r="E41" s="2">
        <v>46213</v>
      </c>
    </row>
    <row r="42" spans="1:5" x14ac:dyDescent="0.25">
      <c r="A42" s="1" t="s">
        <v>5</v>
      </c>
      <c r="B42" s="1" t="s">
        <v>12</v>
      </c>
      <c r="C42" s="1" t="str">
        <f>_xlfn.XLOOKUP(Table1[[#This Row],[client_name]],Sheet2!$A$1:$A$5,Sheet2!$B$1:$B$5,"Not Found",0,1)</f>
        <v>Perfume</v>
      </c>
      <c r="D42" s="1">
        <v>450</v>
      </c>
      <c r="E42" s="2">
        <v>46214</v>
      </c>
    </row>
    <row r="43" spans="1:5" x14ac:dyDescent="0.25">
      <c r="A43" s="1" t="s">
        <v>6</v>
      </c>
      <c r="B43" s="1" t="s">
        <v>12</v>
      </c>
      <c r="C43" s="1" t="str">
        <f>_xlfn.XLOOKUP(Table1[[#This Row],[client_name]],Sheet2!$A$1:$A$5,Sheet2!$B$1:$B$5,"Not Found",0,1)</f>
        <v>Perfume</v>
      </c>
      <c r="D43" s="1">
        <v>550</v>
      </c>
      <c r="E43" s="2">
        <v>46215</v>
      </c>
    </row>
    <row r="44" spans="1:5" x14ac:dyDescent="0.25">
      <c r="A44" s="1" t="s">
        <v>7</v>
      </c>
      <c r="B44" s="1" t="s">
        <v>12</v>
      </c>
      <c r="C44" s="1" t="str">
        <f>_xlfn.XLOOKUP(Table1[[#This Row],[client_name]],Sheet2!$A$1:$A$5,Sheet2!$B$1:$B$5,"Not Found",0,1)</f>
        <v>Perfume</v>
      </c>
      <c r="D44" s="1">
        <v>650</v>
      </c>
      <c r="E44" s="2">
        <v>46216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329A-C8D3-400E-A708-4AB94EF2522F}">
  <dimension ref="A1:B5"/>
  <sheetViews>
    <sheetView workbookViewId="0">
      <selection activeCell="B1" sqref="B1:B5"/>
    </sheetView>
  </sheetViews>
  <sheetFormatPr defaultRowHeight="15" x14ac:dyDescent="0.25"/>
  <cols>
    <col min="1" max="1" width="14.140625" bestFit="1" customWidth="1"/>
  </cols>
  <sheetData>
    <row r="1" spans="1:2" x14ac:dyDescent="0.25">
      <c r="A1" t="s">
        <v>5</v>
      </c>
      <c r="B1" t="s">
        <v>11</v>
      </c>
    </row>
    <row r="2" spans="1:2" x14ac:dyDescent="0.25">
      <c r="A2" t="s">
        <v>6</v>
      </c>
      <c r="B2" t="s">
        <v>11</v>
      </c>
    </row>
    <row r="3" spans="1:2" x14ac:dyDescent="0.25">
      <c r="A3" t="s">
        <v>7</v>
      </c>
      <c r="B3" t="s">
        <v>11</v>
      </c>
    </row>
    <row r="4" spans="1:2" x14ac:dyDescent="0.25">
      <c r="A4" t="s">
        <v>8</v>
      </c>
      <c r="B4" t="s">
        <v>11</v>
      </c>
    </row>
    <row r="5" spans="1:2" x14ac:dyDescent="0.25">
      <c r="A5" t="s">
        <v>9</v>
      </c>
      <c r="B5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C04C52-015F-4604-858A-FE045CA664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Yato</dc:creator>
  <cp:lastModifiedBy>Ignacio Recabal</cp:lastModifiedBy>
  <dcterms:created xsi:type="dcterms:W3CDTF">2015-06-05T18:17:20Z</dcterms:created>
  <dcterms:modified xsi:type="dcterms:W3CDTF">2026-05-27T22:38:58Z</dcterms:modified>
</cp:coreProperties>
</file>